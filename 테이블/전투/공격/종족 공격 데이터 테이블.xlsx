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공격\"/>
    </mc:Choice>
  </mc:AlternateContent>
  <xr:revisionPtr revIDLastSave="0" documentId="13_ncr:1_{395A92B0-B58B-440C-9E9D-DDF894C83A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획득 단계 Enum 정의" sheetId="4" r:id="rId2"/>
    <sheet name="소모 자원 Enum 정의" sheetId="5" r:id="rId3"/>
    <sheet name="조건 종족 Enum 정의" sheetId="6" r:id="rId4"/>
    <sheet name="데이터 테이블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F1" i="2" a="1"/>
  <c r="H1" i="2" a="1"/>
  <c r="D1" i="2" a="1"/>
  <c r="E1" i="2" a="1"/>
  <c r="G1" i="2" a="1"/>
  <c r="B1" i="2" a="1"/>
  <c r="B1" i="2" l="1"/>
  <c r="G1" i="2"/>
  <c r="E1" i="2"/>
  <c r="D1" i="2"/>
  <c r="H1" i="2"/>
  <c r="F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<sst xmlns="http://schemas.openxmlformats.org/spreadsheetml/2006/main" count="55" uniqueCount="49">
  <si>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</si>
  <si>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</si>
  <si>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</si>
  <si>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</si>
  <si>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</si>
  <si>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</si>
  <si>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값</t>
    <phoneticPr fontId="1" type="noConversion"/>
  </si>
  <si>
    <t>기본값</t>
    <phoneticPr fontId="1" type="noConversion"/>
  </si>
  <si>
    <t>획득 단계</t>
  </si>
  <si>
    <t>획득 방식</t>
  </si>
  <si>
    <t>소모 자원</t>
  </si>
  <si>
    <t>자원 소모량</t>
  </si>
  <si>
    <t>재사용 대기시간</t>
  </si>
  <si>
    <t>Integer</t>
  </si>
  <si>
    <t>Enum</t>
  </si>
  <si>
    <t>Boolean[]</t>
  </si>
  <si>
    <t>Enum[]</t>
  </si>
  <si>
    <t>Float[]</t>
  </si>
  <si>
    <t>Float</t>
  </si>
  <si>
    <t>기술을 얻을 수 있는 획득 방식 정보이다.</t>
  </si>
  <si>
    <t>미발견</t>
    <phoneticPr fontId="1" type="noConversion"/>
  </si>
  <si>
    <t>획득전</t>
    <phoneticPr fontId="1" type="noConversion"/>
  </si>
  <si>
    <t>획득후</t>
    <phoneticPr fontId="1" type="noConversion"/>
  </si>
  <si>
    <t>생명력</t>
    <phoneticPr fontId="1" type="noConversion"/>
  </si>
  <si>
    <t>지구력</t>
    <phoneticPr fontId="1" type="noConversion"/>
  </si>
  <si>
    <t>정신력</t>
    <phoneticPr fontId="1" type="noConversion"/>
  </si>
  <si>
    <t>영력</t>
    <phoneticPr fontId="1" type="noConversion"/>
  </si>
  <si>
    <t>소모 자원이 생명력인 유형</t>
    <phoneticPr fontId="1" type="noConversion"/>
  </si>
  <si>
    <t>소모 자원이 지구력인 유형</t>
    <phoneticPr fontId="1" type="noConversion"/>
  </si>
  <si>
    <t>소모 자원이 정신력인 유형</t>
    <phoneticPr fontId="1" type="noConversion"/>
  </si>
  <si>
    <t>소모 자원이 영력인 유형</t>
    <phoneticPr fontId="1" type="noConversion"/>
  </si>
  <si>
    <t>기본 획득 단계가 미발견인 경우</t>
    <phoneticPr fontId="1" type="noConversion"/>
  </si>
  <si>
    <t>기본 획득 단계가 획득전인 경우</t>
    <phoneticPr fontId="1" type="noConversion"/>
  </si>
  <si>
    <t>기본 획득 단계가 획득후인 경우</t>
    <phoneticPr fontId="1" type="noConversion"/>
  </si>
  <si>
    <t>종족 공격 Id</t>
    <phoneticPr fontId="1" type="noConversion"/>
  </si>
  <si>
    <t>종족 공격의 튜플을 구분하는 Id 정보</t>
  </si>
  <si>
    <t>종족 공격 Id 테이블</t>
  </si>
  <si>
    <t>종족 공격의 기본 획득 단계 정보이다.</t>
  </si>
  <si>
    <t>종족 공격을 사용하는데 소모되는 자원 종류 정보이다.</t>
  </si>
  <si>
    <t>종족 공격을 사용하는데 소모되는 자원 수치값 정보이다.</t>
  </si>
  <si>
    <t>종족 공격 사용 시 재사용하기 위해서 대기해야하는 시간(s) 정보이다.</t>
  </si>
  <si>
    <t>조건 종족</t>
  </si>
  <si>
    <t>종족 공격을 사용하기 위해 캐릭터가 되어야하는 종족 정보이다.</t>
  </si>
  <si>
    <t>인간</t>
    <phoneticPr fontId="1" type="noConversion"/>
  </si>
  <si>
    <t>망령</t>
    <phoneticPr fontId="1" type="noConversion"/>
  </si>
  <si>
    <t>요괴</t>
    <phoneticPr fontId="1" type="noConversion"/>
  </si>
  <si>
    <t>인간 종족을 뜻하는 Enum 타입</t>
    <phoneticPr fontId="1" type="noConversion"/>
  </si>
  <si>
    <t>망령 종족을 뜻하는 Enum 타입</t>
    <phoneticPr fontId="1" type="noConversion"/>
  </si>
  <si>
    <t>요괴 종족을 뜻하는 Enum 타입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</si>
</sst>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tabSelected="1" workbookViewId="0">
      <selection activeCell="B10" sqref="B10"/>
    </sheetView>
  </sheetViews>
  <sheetFormatPr defaultRowHeight="16.5" x14ac:dyDescent="0.3"/>
  <cols>
    <col min="2" max="2" width="27.625" customWidth="1"/>
    <col min="3" max="3" width="11.625" bestFit="1" customWidth="1"/>
    <col min="4" max="4" width="65.625" bestFit="1" customWidth="1"/>
    <col min="5" max="5" width="22.625" customWidth="1"/>
    <col min="6" max="6" width="27.125" customWidth="1"/>
    <col min="8" max="8" width="13.5" bestFit="1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5</v>
      </c>
    </row>
    <row r="3" spans="2:8" x14ac:dyDescent="0.3">
      <c r="B3" t="s">
        <v>34</v>
      </c>
      <c r="C3" t="b">
        <v>1</v>
      </c>
      <c r="D3" t="s">
        <v>35</v>
      </c>
      <c r="E3" t="s">
        <v>13</v>
      </c>
      <c r="F3" t="s">
        <v>36</v>
      </c>
      <c r="G3">
        <v>0</v>
      </c>
      <c r="H3" t="b">
        <v>0</v>
      </c>
    </row>
    <row r="4" spans="2:8" x14ac:dyDescent="0.3">
      <c r="B4" t="s">
        <v>8</v>
      </c>
      <c r="C4" t="b">
        <v>0</v>
      </c>
      <c r="D4" t="s">
        <v>37</v>
      </c>
      <c r="E4" t="s">
        <v>14</v>
      </c>
      <c r="F4" t="b">
        <v>0</v>
      </c>
      <c r="H4" t="b">
        <v>0</v>
      </c>
    </row>
    <row r="5" spans="2:8" x14ac:dyDescent="0.3">
      <c r="B5" t="s">
        <v>9</v>
      </c>
      <c r="C5" t="b">
        <v>0</v>
      </c>
      <c r="D5" t="s">
        <v>19</v>
      </c>
      <c r="E5" t="s">
        <v>15</v>
      </c>
      <c r="F5" t="b">
        <v>0</v>
      </c>
      <c r="H5" t="b">
        <v>0</v>
      </c>
    </row>
    <row r="6" spans="2:8" x14ac:dyDescent="0.3">
      <c r="B6" t="s">
        <v>10</v>
      </c>
      <c r="C6" t="b">
        <v>0</v>
      </c>
      <c r="D6" t="s">
        <v>38</v>
      </c>
      <c r="E6" t="s">
        <v>16</v>
      </c>
      <c r="F6" t="b">
        <v>0</v>
      </c>
      <c r="H6" t="b">
        <v>1</v>
      </c>
    </row>
    <row r="7" spans="2:8" x14ac:dyDescent="0.3">
      <c r="B7" t="s">
        <v>11</v>
      </c>
      <c r="C7" t="b">
        <v>0</v>
      </c>
      <c r="D7" t="s">
        <v>39</v>
      </c>
      <c r="E7" t="s">
        <v>17</v>
      </c>
      <c r="F7" t="b">
        <v>0</v>
      </c>
      <c r="H7" t="b">
        <v>1</v>
      </c>
    </row>
    <row r="8" spans="2:8" x14ac:dyDescent="0.3">
      <c r="B8" t="s">
        <v>41</v>
      </c>
      <c r="C8" t="b">
        <v>0</v>
      </c>
      <c r="D8" t="s">
        <v>42</v>
      </c>
      <c r="E8" t="s">
        <v>14</v>
      </c>
      <c r="F8" t="b">
        <v>0</v>
      </c>
      <c r="H8" t="b">
        <v>0</v>
      </c>
    </row>
    <row r="9" spans="2:8" x14ac:dyDescent="0.3">
      <c r="B9" t="s">
        <v>12</v>
      </c>
      <c r="C9" t="b">
        <v>0</v>
      </c>
      <c r="D9" t="s">
        <v>40</v>
      </c>
      <c r="E9" t="s">
        <v>18</v>
      </c>
      <c r="F9" t="b">
        <v>0</v>
      </c>
      <c r="H9" t="b">
        <v>0</v>
      </c>
    </row>
  </sheetData>
  <phoneticPr fontId="1" type="noConversion"/>
  <dataValidations count="2">
    <dataValidation type="list" allowBlank="1" showInputMessage="1" showErrorMessage="1" sqref="H3:H1048576 C8:D8 C3:C7 C9:C1048576" xr:uid="{0895F9FF-1DFA-4563-9DE3-C3925ED53F93}">
      <formula1>"True, False"</formula1>
    </dataValidation>
    <dataValidation type="list" allowBlank="1" showInputMessage="1" showErrorMessage="1" sqref="E3:E7 E9:E1048576 F8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5731-D6CA-4D9D-B52C-A24CAD559A88}">
  <dimension ref="B2:C5"/>
  <sheetViews>
    <sheetView workbookViewId="0">
      <selection activeCell="C5" sqref="C5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20</v>
      </c>
      <c r="C3" t="s">
        <v>31</v>
      </c>
    </row>
    <row r="4" spans="2:3" x14ac:dyDescent="0.3">
      <c r="B4" t="s">
        <v>21</v>
      </c>
      <c r="C4" t="s">
        <v>32</v>
      </c>
    </row>
    <row r="5" spans="2:3" x14ac:dyDescent="0.3">
      <c r="B5" t="s">
        <v>22</v>
      </c>
      <c r="C5" t="s">
        <v>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0CD3-1061-4F7B-97CE-F641523A7097}">
  <dimension ref="B2:C6"/>
  <sheetViews>
    <sheetView workbookViewId="0">
      <selection activeCell="C6" sqref="C6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23</v>
      </c>
      <c r="C3" t="s">
        <v>27</v>
      </c>
    </row>
    <row r="4" spans="2:3" x14ac:dyDescent="0.3">
      <c r="B4" t="s">
        <v>24</v>
      </c>
      <c r="C4" t="s">
        <v>28</v>
      </c>
    </row>
    <row r="5" spans="2:3" x14ac:dyDescent="0.3">
      <c r="B5" t="s">
        <v>25</v>
      </c>
      <c r="C5" t="s">
        <v>29</v>
      </c>
    </row>
    <row r="6" spans="2:3" x14ac:dyDescent="0.3">
      <c r="B6" t="s">
        <v>26</v>
      </c>
      <c r="C6" t="s">
        <v>30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06B3-461F-4CF7-8231-6933746FFFBD}">
  <dimension ref="B2:C5"/>
  <sheetViews>
    <sheetView workbookViewId="0">
      <selection activeCell="C6" sqref="C6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43</v>
      </c>
      <c r="C3" t="s">
        <v>46</v>
      </c>
    </row>
    <row r="4" spans="2:3" x14ac:dyDescent="0.3">
      <c r="B4" t="s">
        <v>44</v>
      </c>
      <c r="C4" t="s">
        <v>47</v>
      </c>
    </row>
    <row r="5" spans="2:3" x14ac:dyDescent="0.3">
      <c r="B5" t="s">
        <v>45</v>
      </c>
      <c r="C5" t="s">
        <v>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workbookViewId="0">
      <selection activeCell="G8" sqref="G8"/>
    </sheetView>
  </sheetViews>
  <sheetFormatPr defaultRowHeight="16.5" x14ac:dyDescent="0.3"/>
  <cols>
    <col min="2" max="2" width="12.125" bestFit="1" customWidth="1"/>
    <col min="3" max="5" width="9.625" bestFit="1" customWidth="1"/>
    <col min="6" max="6" width="11.625" bestFit="1" customWidth="1"/>
    <col min="7" max="7" width="9.625" bestFit="1" customWidth="1"/>
    <col min="8" max="8" width="15.8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종족 공격 Id</v>
      </c>
      <c r="C1" t="str" cm="1">
        <f t="array" aca="1" ref="C1" ca="1">IF(INDIRECT("'도메인 정의'!B" &amp; COLUMN()+1)=0,"속성 없음",INDIRECT("'도메인 정의'!B" &amp; COLUMN()+1))</f>
        <v>획득 단계</v>
      </c>
      <c r="D1" t="str" cm="1">
        <f t="array" aca="1" ref="D1" ca="1">IF(INDIRECT("'도메인 정의'!B" &amp; COLUMN()+1)=0,"속성 없음",INDIRECT("'도메인 정의'!B" &amp; COLUMN()+1))</f>
        <v>획득 방식</v>
      </c>
      <c r="E1" t="str" cm="1">
        <f t="array" aca="1" ref="E1" ca="1">IF(INDIRECT("'도메인 정의'!B" &amp; COLUMN()+1)=0,"속성 없음",INDIRECT("'도메인 정의'!B" &amp; COLUMN()+1))</f>
        <v>소모 자원</v>
      </c>
      <c r="F1" t="str" cm="1">
        <f t="array" aca="1" ref="F1" ca="1">IF(INDIRECT("'도메인 정의'!B" &amp; COLUMN()+1)=0,"속성 없음",INDIRECT("'도메인 정의'!B" &amp; COLUMN()+1))</f>
        <v>자원 소모량</v>
      </c>
      <c r="G1" t="str" cm="1">
        <f t="array" aca="1" ref="G1" ca="1">IF(INDIRECT("'도메인 정의'!B" &amp; COLUMN()+1)=0,"속성 없음",INDIRECT("'도메인 정의'!B" &amp; COLUMN()+1))</f>
        <v>조건 종족</v>
      </c>
      <c r="H1" t="str" cm="1">
        <f t="array" aca="1" ref="H1" ca="1">IF(INDIRECT("'도메인 정의'!B" &amp; COLUMN()+1)=0,"속성 없음",INDIRECT("'도메인 정의'!B" &amp; COLUMN()+1))</f>
        <v>재사용 대기시간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도메인 정의</vt:lpstr>
      <vt:lpstr>획득 단계 Enum 정의</vt:lpstr>
      <vt:lpstr>소모 자원 Enum 정의</vt:lpstr>
      <vt:lpstr>조건 종족 Enum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2026-01-11T08:35:04Z</dcterms:modified>
</cp:coreProperties>
</file>