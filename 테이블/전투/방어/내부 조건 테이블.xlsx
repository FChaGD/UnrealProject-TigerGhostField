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방어\"/>
    </mc:Choice>
  </mc:AlternateContent>
  <xr:revisionPtr revIDLastSave="0" documentId="13_ncr:1_{7995512B-7AD2-4859-BCF9-E5A541E768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도메인 정의" sheetId="1" r:id="rId1"/>
    <sheet name="내부 조건 Enum 정의" sheetId="4" r:id="rId2"/>
    <sheet name="데이터 테이블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B1" i="2" a="1"/>
  <c r="H1" i="2" a="1"/>
  <c r="G1" i="2" a="1"/>
  <c r="E1" i="2" a="1"/>
  <c r="E1" i="2" l="1"/>
  <c r="G1" i="2"/>
  <c r="H1" i="2"/>
  <c r="B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<sst xmlns="http://schemas.openxmlformats.org/spreadsheetml/2006/main" count="26" uniqueCount="24">
  <si>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</si>
  <si>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</si>
  <si>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</si>
  <si>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</si>
  <si>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</si>
  <si>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</si>
  <si>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값</t>
    <phoneticPr fontId="1" type="noConversion"/>
  </si>
  <si>
    <t>기본값</t>
    <phoneticPr fontId="1" type="noConversion"/>
  </si>
  <si>
    <t>테이블 id</t>
  </si>
  <si>
    <t>방어 Id</t>
  </si>
  <si>
    <t>내부 조건 유형</t>
  </si>
  <si>
    <t>테이블의 튜플을 구분하는 id 정보</t>
  </si>
  <si>
    <t>방어 방식의 튜플을 구분하는 Id 정보</t>
  </si>
  <si>
    <t>내부 조건에서 조건의 분류를 알려주는 정보</t>
  </si>
  <si>
    <t>Integer</t>
  </si>
  <si>
    <t>Enum</t>
  </si>
  <si>
    <t>방어 id 테이블</t>
    <phoneticPr fontId="1" type="noConversion"/>
  </si>
  <si>
    <t>소모자원</t>
  </si>
  <si>
    <t>소모자원</t>
    <phoneticPr fontId="1" type="noConversion"/>
  </si>
  <si>
    <t>방어자종족</t>
  </si>
  <si>
    <t>방어불가능속성</t>
  </si>
  <si>
    <t>소모자원을 요구하는 조건</t>
    <phoneticPr fontId="1" type="noConversion"/>
  </si>
  <si>
    <t>방어자의 종족을 따지는 조건</t>
    <phoneticPr fontId="1" type="noConversion"/>
  </si>
  <si>
    <t>피격된 공격의 속성을 따지는 조건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</si>
</sst>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"/>
  <sheetViews>
    <sheetView workbookViewId="0">
      <selection activeCell="C16" sqref="C16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41.5" style="2" bestFit="1" customWidth="1"/>
    <col min="5" max="5" width="22.625" style="2" customWidth="1"/>
    <col min="6" max="6" width="27.125" style="2" customWidth="1"/>
    <col min="7" max="7" width="9" style="3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5</v>
      </c>
    </row>
    <row r="3" spans="2:8" x14ac:dyDescent="0.3">
      <c r="B3" s="2" t="s">
        <v>8</v>
      </c>
      <c r="C3" s="2" t="b">
        <v>1</v>
      </c>
      <c r="D3" s="2" t="s">
        <v>11</v>
      </c>
      <c r="E3" s="2" t="s">
        <v>14</v>
      </c>
      <c r="F3" s="2" t="b">
        <v>0</v>
      </c>
      <c r="G3" s="3">
        <v>0</v>
      </c>
      <c r="H3" s="4" t="b">
        <v>0</v>
      </c>
    </row>
    <row r="4" spans="2:8" x14ac:dyDescent="0.3">
      <c r="B4" s="2" t="s">
        <v>9</v>
      </c>
      <c r="C4" s="2" t="b">
        <v>1</v>
      </c>
      <c r="D4" s="2" t="s">
        <v>12</v>
      </c>
      <c r="E4" s="2" t="s">
        <v>14</v>
      </c>
      <c r="F4" s="2" t="s">
        <v>16</v>
      </c>
      <c r="G4" s="3">
        <v>0</v>
      </c>
      <c r="H4" s="4" t="b">
        <v>0</v>
      </c>
    </row>
    <row r="5" spans="2:8" x14ac:dyDescent="0.3">
      <c r="B5" s="2" t="s">
        <v>10</v>
      </c>
      <c r="C5" s="2" t="b">
        <v>0</v>
      </c>
      <c r="D5" s="2" t="s">
        <v>13</v>
      </c>
      <c r="E5" s="2" t="s">
        <v>15</v>
      </c>
      <c r="F5" s="2" t="b">
        <v>0</v>
      </c>
      <c r="G5" s="3" t="s">
        <v>18</v>
      </c>
      <c r="H5" s="4" t="b">
        <v>0</v>
      </c>
    </row>
  </sheetData>
  <phoneticPr fontId="1" type="noConversion"/>
  <dataValidations count="2">
    <dataValidation type="list" allowBlank="1" showInputMessage="1" showErrorMessage="1" sqref="C3:C1048576 H3:H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4072-5AB1-4B00-B69A-232BCC2BB72D}">
  <dimension ref="B2:C5"/>
  <sheetViews>
    <sheetView tabSelected="1" workbookViewId="0">
      <selection activeCell="C3" sqref="C3"/>
    </sheetView>
  </sheetViews>
  <sheetFormatPr defaultRowHeight="16.5" x14ac:dyDescent="0.3"/>
  <cols>
    <col min="2" max="2" width="15.125" bestFit="1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17</v>
      </c>
      <c r="C3" t="s">
        <v>21</v>
      </c>
    </row>
    <row r="4" spans="2:3" x14ac:dyDescent="0.3">
      <c r="B4" t="s">
        <v>19</v>
      </c>
      <c r="C4" t="s">
        <v>22</v>
      </c>
    </row>
    <row r="5" spans="2:3" x14ac:dyDescent="0.3">
      <c r="B5" t="s">
        <v>20</v>
      </c>
      <c r="C5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workbookViewId="0">
      <selection activeCell="D16" sqref="D16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테이블 id</v>
      </c>
      <c r="C1" t="str" cm="1">
        <f t="array" aca="1" ref="C1" ca="1">IF(INDIRECT("'도메인 정의'!B" &amp; COLUMN()+1)=0,"속성 없음",INDIRECT("'도메인 정의'!B" &amp; COLUMN()+1))</f>
        <v>방어 Id</v>
      </c>
      <c r="D1" t="str" cm="1">
        <f t="array" aca="1" ref="D1" ca="1">IF(INDIRECT("'도메인 정의'!B" &amp; COLUMN()+1)=0,"속성 없음",INDIRECT("'도메인 정의'!B" &amp; COLUMN()+1))</f>
        <v>내부 조건 유형</v>
      </c>
      <c r="E1" t="str" cm="1">
        <f t="array" aca="1" ref="E1" ca="1">IF(INDIRECT("'도메인 정의'!B" &amp; COLUMN()+1)=0,"속성 없음",INDIRECT("'도메인 정의'!B" &amp; COLUMN()+1))</f>
        <v>속성 없음</v>
      </c>
      <c r="F1" t="str" cm="1">
        <f t="array" aca="1" ref="F1" ca="1">IF(INDIRECT("'도메인 정의'!B" &amp; COLUMN()+1)=0,"속성 없음",INDIRECT("'도메인 정의'!B" &amp; COLUMN()+1))</f>
        <v>속성 없음</v>
      </c>
      <c r="G1" t="str" cm="1">
        <f t="array" aca="1" ref="G1" ca="1">IF(INDIRECT("'도메인 정의'!B" &amp; COLUMN()+1)=0,"속성 없음",INDIRECT("'도메인 정의'!B" &amp; COLUMN()+1))</f>
        <v>속성 없음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도메인 정의</vt:lpstr>
      <vt:lpstr>내부 조건 Enum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2026-01-02T09:10:06Z</dcterms:modified>
</cp:coreProperties>
</file>