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real\Project TirgerGhostField\기획\테이블\전투\방어\"/>
    </mc:Choice>
  </mc:AlternateContent>
  <xr:revisionPtr revIDLastSave="0" documentId="13_ncr:1_{C6DB666A-A995-4A6B-BBFD-9E50B705FDC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도메인 정의" sheetId="1" r:id="rId1"/>
    <sheet name="데이터 테이블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2" l="1" a="1"/>
  <c r="C1" i="2" a="1"/>
  <c r="D1" i="2" a="1"/>
  <c r="F1" i="2" a="1"/>
  <c r="B1" i="2" a="1"/>
  <c r="H1" i="2" a="1"/>
  <c r="G1" i="2" a="1"/>
  <c r="E1" i="2" a="1"/>
  <c r="E1" i="2" l="1"/>
  <c r="G1" i="2"/>
  <c r="H1" i="2"/>
  <c r="B1" i="2"/>
  <c r="F1" i="2"/>
  <c r="D1" i="2"/>
  <c r="C1" i="2"/>
  <c r="I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<sst xmlns="http://schemas.openxmlformats.org/spreadsheetml/2006/main" count="53" uniqueCount="40">
  <si>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</si>
  <si>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</si>
  <si>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</si>
  <si>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</si>
  <si>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</si>
  <si>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Null허용 여부</t>
    <phoneticPr fontId="1" type="noConversion"/>
  </si>
  <si>
    <t>기본값</t>
    <phoneticPr fontId="1" type="noConversion"/>
  </si>
  <si>
    <t>방어 Id</t>
  </si>
  <si>
    <t>방어 방식 명칭</t>
  </si>
  <si>
    <t>플레이버 텍스트</t>
  </si>
  <si>
    <t>방어 효과(간단)</t>
  </si>
  <si>
    <t>방어 효과(상세)</t>
  </si>
  <si>
    <t>입력 키</t>
  </si>
  <si>
    <t>작동 조건</t>
  </si>
  <si>
    <t>획득 정보</t>
  </si>
  <si>
    <t>방어 방식을 구분하는 Id 정보</t>
  </si>
  <si>
    <t>방어 방식의 이름 정보</t>
  </si>
  <si>
    <t>방어 방식을 설명하는 시나리오 플레이버 텍스트 정보</t>
  </si>
  <si>
    <t>간단히 설명하는 방어 방식의 효과 정보</t>
  </si>
  <si>
    <t>상세하게 설명하는 방어 방식의 효과 정보</t>
  </si>
  <si>
    <t>방어 방식을 사용하기 위한 입력 액션 정보</t>
  </si>
  <si>
    <t>방어 방식의 작동 조건</t>
  </si>
  <si>
    <t>방어 방식을 획득할 수 있는 방식 정보</t>
  </si>
  <si>
    <t>Integer</t>
  </si>
  <si>
    <t>String</t>
  </si>
  <si>
    <t>방어 id 테이블</t>
    <phoneticPr fontId="1" type="noConversion"/>
  </si>
  <si>
    <t>""</t>
    <phoneticPr fontId="1" type="noConversion"/>
  </si>
  <si>
    <t>막기</t>
  </si>
  <si>
    <t>그림자는 주인의 곁을 지킨다. 어떤 공격이 와도 그건 변치 않는다. 곁을 지키기 위해, 기초적인 방어는 호흡과도 같았다.</t>
  </si>
  <si>
    <t>지구력을 소모해 공격을 방어합니다.</t>
  </si>
  <si>
    <t>방어한 공격량 30당 0.5m씩 후방으로 밀려남.</t>
  </si>
  <si>
    <t>{방어조작키1}을(를) 입력.</t>
  </si>
  <si>
    <t>지구력 5소모</t>
  </si>
  <si>
    <t>메인 시나리오를 진행하십시오.</t>
  </si>
  <si>
    <t>흘리기</t>
  </si>
  <si>
    <t>흐름과도 같은 자연스러운 전환. 공수의 일체는 모든 전투의 핵심이다.</t>
  </si>
  <si>
    <t>방어 발동 후 5초 이내 공격시 공격력 50% 증가.</t>
  </si>
  <si>
    <t>지구력 5, 정신력 1 소모</t>
  </si>
  <si>
    <t>지구력과 정신력을 소모해 공격을 방어합니다. 다음 공격을 강화합니다.</t>
    <phoneticPr fontId="1" type="noConversion"/>
  </si>
  <si>
    <t>{방어조작키2}을(를) 입력.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</si>
</sst>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"/>
  <sheetViews>
    <sheetView topLeftCell="B1" workbookViewId="0">
      <selection activeCell="B13" sqref="B13"/>
    </sheetView>
  </sheetViews>
  <sheetFormatPr defaultRowHeight="16.5" x14ac:dyDescent="0.3"/>
  <cols>
    <col min="2" max="2" width="27.625" style="2" customWidth="1"/>
    <col min="3" max="3" width="11.625" style="2" bestFit="1" customWidth="1"/>
    <col min="4" max="4" width="50.5" style="2" bestFit="1" customWidth="1"/>
    <col min="5" max="5" width="22.625" style="2" customWidth="1"/>
    <col min="6" max="6" width="27.125" style="2" customWidth="1"/>
    <col min="7" max="7" width="9" style="3"/>
    <col min="8" max="8" width="13.5" style="4" bestFit="1" customWidth="1"/>
  </cols>
  <sheetData>
    <row r="1" spans="2:8" x14ac:dyDescent="0.3">
      <c r="B1"/>
      <c r="C1"/>
      <c r="D1"/>
      <c r="E1"/>
      <c r="F1"/>
      <c r="G1"/>
      <c r="H1"/>
    </row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5</v>
      </c>
    </row>
    <row r="3" spans="2:8" x14ac:dyDescent="0.3">
      <c r="B3" s="2" t="s">
        <v>7</v>
      </c>
      <c r="C3" s="2" t="b">
        <v>1</v>
      </c>
      <c r="D3" s="2" t="s">
        <v>15</v>
      </c>
      <c r="E3" s="2" t="s">
        <v>23</v>
      </c>
      <c r="F3" s="2" t="s">
        <v>25</v>
      </c>
      <c r="G3" s="3">
        <v>0</v>
      </c>
      <c r="H3" s="4" t="b">
        <v>0</v>
      </c>
    </row>
    <row r="4" spans="2:8" x14ac:dyDescent="0.3">
      <c r="B4" s="2" t="s">
        <v>8</v>
      </c>
      <c r="C4" s="2" t="b">
        <v>0</v>
      </c>
      <c r="D4" s="2" t="s">
        <v>16</v>
      </c>
      <c r="E4" s="2" t="s">
        <v>24</v>
      </c>
      <c r="F4" s="2" t="b">
        <v>0</v>
      </c>
      <c r="G4" s="3" t="s">
        <v>26</v>
      </c>
      <c r="H4" s="4" t="b">
        <v>0</v>
      </c>
    </row>
    <row r="5" spans="2:8" x14ac:dyDescent="0.3">
      <c r="B5" s="2" t="s">
        <v>9</v>
      </c>
      <c r="C5" s="2" t="b">
        <v>0</v>
      </c>
      <c r="D5" s="2" t="s">
        <v>17</v>
      </c>
      <c r="E5" s="2" t="s">
        <v>24</v>
      </c>
      <c r="F5" s="2" t="b">
        <v>0</v>
      </c>
      <c r="G5" s="3" t="s">
        <v>26</v>
      </c>
      <c r="H5" s="4" t="b">
        <v>0</v>
      </c>
    </row>
    <row r="6" spans="2:8" x14ac:dyDescent="0.3">
      <c r="B6" s="2" t="s">
        <v>10</v>
      </c>
      <c r="C6" s="2" t="b">
        <v>0</v>
      </c>
      <c r="D6" s="2" t="s">
        <v>18</v>
      </c>
      <c r="E6" s="2" t="s">
        <v>24</v>
      </c>
      <c r="F6" s="2" t="b">
        <v>0</v>
      </c>
      <c r="G6" s="3" t="s">
        <v>26</v>
      </c>
      <c r="H6" s="4" t="b">
        <v>0</v>
      </c>
    </row>
    <row r="7" spans="2:8" x14ac:dyDescent="0.3">
      <c r="B7" s="2" t="s">
        <v>11</v>
      </c>
      <c r="C7" s="2" t="b">
        <v>0</v>
      </c>
      <c r="D7" s="2" t="s">
        <v>19</v>
      </c>
      <c r="E7" s="2" t="s">
        <v>24</v>
      </c>
      <c r="F7" s="2" t="b">
        <v>0</v>
      </c>
      <c r="G7" s="3" t="s">
        <v>26</v>
      </c>
      <c r="H7" s="4" t="b">
        <v>0</v>
      </c>
    </row>
    <row r="8" spans="2:8" x14ac:dyDescent="0.3">
      <c r="B8" s="2" t="s">
        <v>12</v>
      </c>
      <c r="C8" s="2" t="b">
        <v>0</v>
      </c>
      <c r="D8" s="2" t="s">
        <v>20</v>
      </c>
      <c r="E8" s="2" t="s">
        <v>24</v>
      </c>
      <c r="F8" s="2" t="b">
        <v>0</v>
      </c>
      <c r="G8" s="3" t="s">
        <v>26</v>
      </c>
      <c r="H8" s="4" t="b">
        <v>0</v>
      </c>
    </row>
    <row r="9" spans="2:8" x14ac:dyDescent="0.3">
      <c r="B9" s="2" t="s">
        <v>13</v>
      </c>
      <c r="C9" s="2" t="b">
        <v>0</v>
      </c>
      <c r="D9" s="2" t="s">
        <v>21</v>
      </c>
      <c r="E9" s="2" t="s">
        <v>24</v>
      </c>
      <c r="F9" s="2" t="b">
        <v>0</v>
      </c>
      <c r="G9" s="3" t="s">
        <v>26</v>
      </c>
      <c r="H9" s="4" t="b">
        <v>0</v>
      </c>
    </row>
    <row r="10" spans="2:8" x14ac:dyDescent="0.3">
      <c r="B10" s="2" t="s">
        <v>14</v>
      </c>
      <c r="C10" s="2" t="b">
        <v>0</v>
      </c>
      <c r="D10" s="2" t="s">
        <v>22</v>
      </c>
      <c r="E10" s="2" t="s">
        <v>24</v>
      </c>
      <c r="F10" s="2" t="b">
        <v>0</v>
      </c>
      <c r="G10" s="3" t="s">
        <v>26</v>
      </c>
      <c r="H10" s="4" t="b">
        <v>0</v>
      </c>
    </row>
  </sheetData>
  <phoneticPr fontId="1" type="noConversion"/>
  <dataValidations count="2">
    <dataValidation type="list" allowBlank="1" showInputMessage="1" showErrorMessage="1" sqref="H3:H1048576 C3:C1048576" xr:uid="{0895F9FF-1DFA-4563-9DE3-C3925ED53F93}">
      <formula1>"True, False"</formula1>
    </dataValidation>
    <dataValidation type="list" allowBlank="1" showInputMessage="1" showErrorMessage="1" sqref="E3:E1048576" xr:uid="{F206F7A0-D8FF-4DF3-9E20-24D3E8262089}">
      <formula1>"Integer, Float, String, Boolean, Enum, Struct, Class&lt;&gt;"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B3A-9DE6-4959-8646-89E4535BEFF0}">
  <dimension ref="B1:I3"/>
  <sheetViews>
    <sheetView tabSelected="1" workbookViewId="0">
      <selection activeCell="B4" sqref="B4"/>
    </sheetView>
  </sheetViews>
  <sheetFormatPr defaultRowHeight="16.5" x14ac:dyDescent="0.3"/>
  <cols>
    <col min="2" max="9" width="15.875" customWidth="1"/>
  </cols>
  <sheetData>
    <row r="1" spans="2:9" x14ac:dyDescent="0.3">
      <c r="B1" t="str" cm="1">
        <f t="array" aca="1" ref="B1" ca="1">IF(INDIRECT("'도메인 정의'!B" &amp; COLUMN()+1)=0,"속성 없음",INDIRECT("'도메인 정의'!B" &amp; COLUMN()+1))</f>
        <v>방어 Id</v>
      </c>
      <c r="C1" t="str" cm="1">
        <f t="array" aca="1" ref="C1" ca="1">IF(INDIRECT("'도메인 정의'!B" &amp; COLUMN()+1)=0,"속성 없음",INDIRECT("'도메인 정의'!B" &amp; COLUMN()+1))</f>
        <v>방어 방식 명칭</v>
      </c>
      <c r="D1" t="str" cm="1">
        <f t="array" aca="1" ref="D1" ca="1">IF(INDIRECT("'도메인 정의'!B" &amp; COLUMN()+1)=0,"속성 없음",INDIRECT("'도메인 정의'!B" &amp; COLUMN()+1))</f>
        <v>플레이버 텍스트</v>
      </c>
      <c r="E1" t="str" cm="1">
        <f t="array" aca="1" ref="E1" ca="1">IF(INDIRECT("'도메인 정의'!B" &amp; COLUMN()+1)=0,"속성 없음",INDIRECT("'도메인 정의'!B" &amp; COLUMN()+1))</f>
        <v>방어 효과(간단)</v>
      </c>
      <c r="F1" t="str" cm="1">
        <f t="array" aca="1" ref="F1" ca="1">IF(INDIRECT("'도메인 정의'!B" &amp; COLUMN()+1)=0,"속성 없음",INDIRECT("'도메인 정의'!B" &amp; COLUMN()+1))</f>
        <v>방어 효과(상세)</v>
      </c>
      <c r="G1" t="str" cm="1">
        <f t="array" aca="1" ref="G1" ca="1">IF(INDIRECT("'도메인 정의'!B" &amp; COLUMN()+1)=0,"속성 없음",INDIRECT("'도메인 정의'!B" &amp; COLUMN()+1))</f>
        <v>입력 키</v>
      </c>
      <c r="H1" t="str" cm="1">
        <f t="array" aca="1" ref="H1" ca="1">IF(INDIRECT("'도메인 정의'!B" &amp; COLUMN()+1)=0,"속성 없음",INDIRECT("'도메인 정의'!B" &amp; COLUMN()+1))</f>
        <v>작동 조건</v>
      </c>
      <c r="I1" t="str" cm="1">
        <f t="array" aca="1" ref="I1" ca="1">IF(INDIRECT("'도메인 정의'!B" &amp; COLUMN()+1)=0,"속성 없음",INDIRECT("'도메인 정의'!B" &amp; COLUMN()+1))</f>
        <v>획득 정보</v>
      </c>
    </row>
    <row r="2" spans="2:9" x14ac:dyDescent="0.3">
      <c r="B2">
        <v>50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2:9" x14ac:dyDescent="0.3">
      <c r="B3">
        <v>100</v>
      </c>
      <c r="C3" t="s">
        <v>34</v>
      </c>
      <c r="D3" t="s">
        <v>35</v>
      </c>
      <c r="E3" t="s">
        <v>38</v>
      </c>
      <c r="F3" t="s">
        <v>36</v>
      </c>
      <c r="G3" t="s">
        <v>39</v>
      </c>
      <c r="H3" t="s">
        <v>37</v>
      </c>
      <c r="I3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도메인 정의</vt:lpstr>
      <vt:lpstr>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2026-01-18T06:45:01Z</dcterms:modified>
</cp:coreProperties>
</file>