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방어\"/>
    </mc:Choice>
  </mc:AlternateContent>
  <xr:revisionPtr revIDLastSave="0" documentId="13_ncr:1_{779A02AC-CBCE-4260-BC61-0CABAD81D6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소모 자원 종류 Enum 정의" sheetId="4" r:id="rId2"/>
    <sheet name="조건 종족 Enum 정의" sheetId="5" r:id="rId3"/>
    <sheet name="방어 불가능 속성 Enum 정의" sheetId="6" r:id="rId4"/>
    <sheet name="데이터 테이블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E1" i="2" a="1"/>
  <c r="G1" i="2" a="1"/>
  <c r="B1" i="2" a="1"/>
  <c r="H1" i="2" a="1"/>
  <c r="H1" i="2" l="1"/>
  <c r="B1" i="2"/>
  <c r="G1" i="2"/>
  <c r="E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<sst xmlns="http://schemas.openxmlformats.org/spreadsheetml/2006/main" count="65" uniqueCount="57">
  <si>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</si>
  <si>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</si>
  <si>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</si>
  <si>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</si>
  <si>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</si>
  <si>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</si>
  <si>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값</t>
    <phoneticPr fontId="1" type="noConversion"/>
  </si>
  <si>
    <t>기본값</t>
    <phoneticPr fontId="1" type="noConversion"/>
  </si>
  <si>
    <t>테이블 id</t>
  </si>
  <si>
    <t>방어 Id</t>
  </si>
  <si>
    <t>소모 자원 종류</t>
  </si>
  <si>
    <t>자원 소모 방식</t>
  </si>
  <si>
    <t>소모 자원량</t>
  </si>
  <si>
    <t>조건 종족</t>
  </si>
  <si>
    <t>방어 불가능 속성</t>
  </si>
  <si>
    <t>테이블의 튜플을 구분하는 id 정보</t>
  </si>
  <si>
    <t>방어 방식의 튜플을 구분하는 Id 정보</t>
  </si>
  <si>
    <t>방어를 위해 소모해야하는 자원의 종류 정보</t>
  </si>
  <si>
    <t>방어를 위해 소모되는 자원의 수치값 정보</t>
  </si>
  <si>
    <t>방어 방식을 사용할 수 있는 종족 정보</t>
  </si>
  <si>
    <t>방어 방식이 방어 불가능한 공격 속성 정보</t>
  </si>
  <si>
    <t>Integer</t>
  </si>
  <si>
    <t>Enum</t>
  </si>
  <si>
    <t>Boolean</t>
  </si>
  <si>
    <t>Float</t>
  </si>
  <si>
    <t>방어 자원이 소모되는 방식 정보
True이면 능력치 최대값의 (수치값)%만큼 소모, False면 (수치값)을 소모</t>
    <phoneticPr fontId="1" type="noConversion"/>
  </si>
  <si>
    <t>방어 id 테이블</t>
    <phoneticPr fontId="1" type="noConversion"/>
  </si>
  <si>
    <t>핵심능력치</t>
  </si>
  <si>
    <t>은닉능력치</t>
  </si>
  <si>
    <t>약점능력치</t>
  </si>
  <si>
    <t>생명력</t>
  </si>
  <si>
    <t>지구력</t>
  </si>
  <si>
    <t>정신력</t>
  </si>
  <si>
    <t>영력</t>
  </si>
  <si>
    <t>핵심 능력치를 의미하는 값</t>
    <phoneticPr fontId="1" type="noConversion"/>
  </si>
  <si>
    <t>약점 능력치를 의미하는 값</t>
  </si>
  <si>
    <t>은닉 능력치를 의미하는 값</t>
    <phoneticPr fontId="1" type="noConversion"/>
  </si>
  <si>
    <t>생명력 능력치을 의미하는 값</t>
    <phoneticPr fontId="1" type="noConversion"/>
  </si>
  <si>
    <t>지구력 능력치를 의미하는 값</t>
    <phoneticPr fontId="1" type="noConversion"/>
  </si>
  <si>
    <t>정신력 능력치을 의미하는 값</t>
    <phoneticPr fontId="1" type="noConversion"/>
  </si>
  <si>
    <t>영력 능력치를 의미하는 값</t>
    <phoneticPr fontId="1" type="noConversion"/>
  </si>
  <si>
    <t>요괴</t>
  </si>
  <si>
    <t>인간</t>
    <phoneticPr fontId="1" type="noConversion"/>
  </si>
  <si>
    <t>인간 종족 값</t>
    <phoneticPr fontId="1" type="noConversion"/>
  </si>
  <si>
    <t>망령</t>
    <phoneticPr fontId="1" type="noConversion"/>
  </si>
  <si>
    <t>망령 종족 값</t>
    <phoneticPr fontId="1" type="noConversion"/>
  </si>
  <si>
    <t>요괴 종족 값</t>
  </si>
  <si>
    <t>정념</t>
  </si>
  <si>
    <t>수극</t>
  </si>
  <si>
    <t>토모</t>
  </si>
  <si>
    <t>화승</t>
  </si>
  <si>
    <t>합일</t>
  </si>
  <si>
    <t>정념 공격 속성</t>
    <phoneticPr fontId="1" type="noConversion"/>
  </si>
  <si>
    <t>수극 공격 속성</t>
  </si>
  <si>
    <t>토모 공격 속성</t>
  </si>
  <si>
    <t>화승 공격 속성</t>
  </si>
  <si>
    <t>합일 공격 속성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</si>
</sst>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tabSelected="1" workbookViewId="0">
      <selection activeCell="B14" sqref="B14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65.625" style="2" bestFit="1" customWidth="1"/>
    <col min="5" max="5" width="22.625" style="2" customWidth="1"/>
    <col min="6" max="6" width="27.125" style="2" customWidth="1"/>
    <col min="7" max="7" width="9" style="3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5</v>
      </c>
    </row>
    <row r="3" spans="2:8" x14ac:dyDescent="0.3">
      <c r="B3" s="2" t="s">
        <v>8</v>
      </c>
      <c r="C3" s="2" t="b">
        <v>1</v>
      </c>
      <c r="D3" s="2" t="s">
        <v>15</v>
      </c>
      <c r="E3" s="2" t="s">
        <v>21</v>
      </c>
      <c r="F3" s="2" t="b">
        <v>0</v>
      </c>
      <c r="G3" s="3">
        <v>0</v>
      </c>
      <c r="H3" s="4" t="b">
        <v>0</v>
      </c>
    </row>
    <row r="4" spans="2:8" x14ac:dyDescent="0.3">
      <c r="B4" s="2" t="s">
        <v>9</v>
      </c>
      <c r="C4" s="2" t="b">
        <v>1</v>
      </c>
      <c r="D4" s="2" t="s">
        <v>16</v>
      </c>
      <c r="E4" s="2" t="s">
        <v>21</v>
      </c>
      <c r="F4" s="2" t="s">
        <v>26</v>
      </c>
      <c r="G4" s="3">
        <v>0</v>
      </c>
      <c r="H4" s="4" t="b">
        <v>0</v>
      </c>
    </row>
    <row r="5" spans="2:8" x14ac:dyDescent="0.3">
      <c r="B5" s="2" t="s">
        <v>10</v>
      </c>
      <c r="C5" s="2" t="b">
        <v>0</v>
      </c>
      <c r="D5" s="2" t="s">
        <v>17</v>
      </c>
      <c r="E5" s="2" t="s">
        <v>22</v>
      </c>
      <c r="F5" s="2" t="b">
        <v>0</v>
      </c>
      <c r="H5" s="4" t="b">
        <v>1</v>
      </c>
    </row>
    <row r="6" spans="2:8" ht="33" x14ac:dyDescent="0.3">
      <c r="B6" s="2" t="s">
        <v>11</v>
      </c>
      <c r="C6" s="2" t="b">
        <v>0</v>
      </c>
      <c r="D6" s="5" t="s">
        <v>25</v>
      </c>
      <c r="E6" s="2" t="s">
        <v>23</v>
      </c>
      <c r="F6" s="2" t="b">
        <v>0</v>
      </c>
      <c r="H6" s="4" t="b">
        <v>1</v>
      </c>
    </row>
    <row r="7" spans="2:8" x14ac:dyDescent="0.3">
      <c r="B7" s="2" t="s">
        <v>12</v>
      </c>
      <c r="C7" s="2" t="b">
        <v>0</v>
      </c>
      <c r="D7" s="2" t="s">
        <v>18</v>
      </c>
      <c r="E7" s="2" t="s">
        <v>24</v>
      </c>
      <c r="F7" s="2" t="b">
        <v>0</v>
      </c>
      <c r="H7" s="4" t="b">
        <v>1</v>
      </c>
    </row>
    <row r="8" spans="2:8" x14ac:dyDescent="0.3">
      <c r="B8" s="2" t="s">
        <v>13</v>
      </c>
      <c r="C8" s="2" t="b">
        <v>0</v>
      </c>
      <c r="D8" s="2" t="s">
        <v>19</v>
      </c>
      <c r="E8" s="2" t="s">
        <v>22</v>
      </c>
      <c r="F8" s="2" t="b">
        <v>0</v>
      </c>
      <c r="H8" s="4" t="b">
        <v>1</v>
      </c>
    </row>
    <row r="9" spans="2:8" x14ac:dyDescent="0.3">
      <c r="B9" s="2" t="s">
        <v>14</v>
      </c>
      <c r="C9" s="2" t="b">
        <v>0</v>
      </c>
      <c r="D9" s="2" t="s">
        <v>20</v>
      </c>
      <c r="E9" s="2" t="s">
        <v>22</v>
      </c>
      <c r="F9" s="2" t="b">
        <v>0</v>
      </c>
      <c r="H9" s="4" t="b">
        <v>1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4072-5AB1-4B00-B69A-232BCC2BB72D}">
  <dimension ref="B2:C9"/>
  <sheetViews>
    <sheetView workbookViewId="0">
      <selection activeCell="B34" sqref="B34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27</v>
      </c>
      <c r="C3" t="s">
        <v>34</v>
      </c>
    </row>
    <row r="4" spans="2:3" x14ac:dyDescent="0.3">
      <c r="B4" t="s">
        <v>28</v>
      </c>
      <c r="C4" t="s">
        <v>36</v>
      </c>
    </row>
    <row r="5" spans="2:3" x14ac:dyDescent="0.3">
      <c r="B5" t="s">
        <v>29</v>
      </c>
      <c r="C5" t="s">
        <v>35</v>
      </c>
    </row>
    <row r="6" spans="2:3" x14ac:dyDescent="0.3">
      <c r="B6" t="s">
        <v>30</v>
      </c>
      <c r="C6" t="s">
        <v>37</v>
      </c>
    </row>
    <row r="7" spans="2:3" x14ac:dyDescent="0.3">
      <c r="B7" t="s">
        <v>31</v>
      </c>
      <c r="C7" t="s">
        <v>38</v>
      </c>
    </row>
    <row r="8" spans="2:3" x14ac:dyDescent="0.3">
      <c r="B8" t="s">
        <v>32</v>
      </c>
      <c r="C8" t="s">
        <v>39</v>
      </c>
    </row>
    <row r="9" spans="2:3" x14ac:dyDescent="0.3">
      <c r="B9" t="s">
        <v>33</v>
      </c>
      <c r="C9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A7B8-622C-484B-8BD8-6C7AF9C51CEB}">
  <dimension ref="B2:G5"/>
  <sheetViews>
    <sheetView workbookViewId="0">
      <selection activeCell="G21" sqref="G21"/>
    </sheetView>
  </sheetViews>
  <sheetFormatPr defaultRowHeight="16.5" x14ac:dyDescent="0.3"/>
  <cols>
    <col min="2" max="2" width="13.375" customWidth="1"/>
    <col min="3" max="3" width="45.75" customWidth="1"/>
  </cols>
  <sheetData>
    <row r="2" spans="2:7" x14ac:dyDescent="0.3">
      <c r="B2" s="1" t="s">
        <v>6</v>
      </c>
      <c r="C2" s="1" t="s">
        <v>2</v>
      </c>
    </row>
    <row r="3" spans="2:7" x14ac:dyDescent="0.3">
      <c r="B3" t="s">
        <v>42</v>
      </c>
      <c r="C3" t="s">
        <v>43</v>
      </c>
      <c r="G3" s="6"/>
    </row>
    <row r="4" spans="2:7" x14ac:dyDescent="0.3">
      <c r="B4" t="s">
        <v>44</v>
      </c>
      <c r="C4" t="s">
        <v>45</v>
      </c>
    </row>
    <row r="5" spans="2:7" x14ac:dyDescent="0.3">
      <c r="B5" t="s">
        <v>41</v>
      </c>
      <c r="C5" t="s">
        <v>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722D-E89B-4801-94FB-A27E4B3874EC}">
  <dimension ref="B2:C7"/>
  <sheetViews>
    <sheetView workbookViewId="0">
      <selection activeCell="C10" sqref="C10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47</v>
      </c>
      <c r="C3" t="s">
        <v>52</v>
      </c>
    </row>
    <row r="4" spans="2:3" x14ac:dyDescent="0.3">
      <c r="B4" t="s">
        <v>48</v>
      </c>
      <c r="C4" t="s">
        <v>53</v>
      </c>
    </row>
    <row r="5" spans="2:3" x14ac:dyDescent="0.3">
      <c r="B5" t="s">
        <v>49</v>
      </c>
      <c r="C5" t="s">
        <v>54</v>
      </c>
    </row>
    <row r="6" spans="2:3" x14ac:dyDescent="0.3">
      <c r="B6" t="s">
        <v>50</v>
      </c>
      <c r="C6" t="s">
        <v>55</v>
      </c>
    </row>
    <row r="7" spans="2:3" x14ac:dyDescent="0.3">
      <c r="B7" t="s">
        <v>51</v>
      </c>
      <c r="C7" t="s">
        <v>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workbookViewId="0">
      <selection activeCell="B4" sqref="B4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테이블 id</v>
      </c>
      <c r="C1" t="str" cm="1">
        <f t="array" aca="1" ref="C1" ca="1">IF(INDIRECT("'도메인 정의'!B" &amp; COLUMN()+1)=0,"속성 없음",INDIRECT("'도메인 정의'!B" &amp; COLUMN()+1))</f>
        <v>방어 Id</v>
      </c>
      <c r="D1" t="str" cm="1">
        <f t="array" aca="1" ref="D1" ca="1">IF(INDIRECT("'도메인 정의'!B" &amp; COLUMN()+1)=0,"속성 없음",INDIRECT("'도메인 정의'!B" &amp; COLUMN()+1))</f>
        <v>소모 자원 종류</v>
      </c>
      <c r="E1" t="str" cm="1">
        <f t="array" aca="1" ref="E1" ca="1">IF(INDIRECT("'도메인 정의'!B" &amp; COLUMN()+1)=0,"속성 없음",INDIRECT("'도메인 정의'!B" &amp; COLUMN()+1))</f>
        <v>자원 소모 방식</v>
      </c>
      <c r="F1" t="str" cm="1">
        <f t="array" aca="1" ref="F1" ca="1">IF(INDIRECT("'도메인 정의'!B" &amp; COLUMN()+1)=0,"속성 없음",INDIRECT("'도메인 정의'!B" &amp; COLUMN()+1))</f>
        <v>소모 자원량</v>
      </c>
      <c r="G1" t="str" cm="1">
        <f t="array" aca="1" ref="G1" ca="1">IF(INDIRECT("'도메인 정의'!B" &amp; COLUMN()+1)=0,"속성 없음",INDIRECT("'도메인 정의'!B" &amp; COLUMN()+1))</f>
        <v>조건 종족</v>
      </c>
      <c r="H1" t="str" cm="1">
        <f t="array" aca="1" ref="H1" ca="1">IF(INDIRECT("'도메인 정의'!B" &amp; COLUMN()+1)=0,"속성 없음",INDIRECT("'도메인 정의'!B" &amp; COLUMN()+1))</f>
        <v>방어 불가능 속성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도메인 정의</vt:lpstr>
      <vt:lpstr>소모 자원 종류 Enum 정의</vt:lpstr>
      <vt:lpstr>조건 종족 Enum 정의</vt:lpstr>
      <vt:lpstr>방어 불가능 속성 Enum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2026-01-02T09:30:34Z</dcterms:modified>
</cp:coreProperties>
</file>