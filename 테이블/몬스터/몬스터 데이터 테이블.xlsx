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몬스터\"/>
    </mc:Choice>
  </mc:AlternateContent>
  <xr:revisionPtr revIDLastSave="0" documentId="13_ncr:1_{4178406F-318F-45A3-9A5E-B71CFF764F1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도메인 정의" sheetId="1" r:id="rId1"/>
    <sheet name="분류 Enum 정의" sheetId="4" r:id="rId2"/>
    <sheet name="데이터 테이블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 a="1"/>
  <c r="B1" i="2" a="1"/>
  <c r="D1" i="2" a="1"/>
  <c r="H1" i="2" a="1"/>
  <c r="F1" i="2" a="1"/>
  <c r="E1" i="2" a="1"/>
  <c r="G1" i="2" a="1"/>
  <c r="C1" i="2" a="1"/>
  <c r="C1" i="2" l="1"/>
  <c r="G1" i="2"/>
  <c r="E1" i="2"/>
  <c r="F1" i="2"/>
  <c r="H1" i="2"/>
  <c r="D1" i="2"/>
  <c r="B1" i="2"/>
  <c r="I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<sst xmlns="http://schemas.openxmlformats.org/spreadsheetml/2006/main" count="44" uniqueCount="36">
  <si>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</si>
  <si>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</si>
  <si>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</si>
  <si>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</si>
  <si>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</si>
  <si>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</si>
  <si>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값</t>
    <phoneticPr fontId="1" type="noConversion"/>
  </si>
  <si>
    <t>기본값</t>
    <phoneticPr fontId="1" type="noConversion"/>
  </si>
  <si>
    <t>몬스터 Id</t>
  </si>
  <si>
    <t>공격력</t>
  </si>
  <si>
    <t>생명력 최대치</t>
  </si>
  <si>
    <t>지구력 최대치</t>
  </si>
  <si>
    <t>정신력 최대치</t>
  </si>
  <si>
    <t>영력 최대치</t>
  </si>
  <si>
    <t>개체 발악 조건</t>
  </si>
  <si>
    <t>Integer</t>
  </si>
  <si>
    <t>Float</t>
  </si>
  <si>
    <t>Enum</t>
  </si>
  <si>
    <t>Boolean</t>
  </si>
  <si>
    <t>몬스터를 구분하는 Id 정보</t>
  </si>
  <si>
    <t>몬스터의 공격력 정보</t>
  </si>
  <si>
    <t>몬스터의 생명력 최대치 정보</t>
  </si>
  <si>
    <t>몬스터의 지구력 최대치 정보</t>
  </si>
  <si>
    <t>몬스터의 정신력 최대치 정보</t>
  </si>
  <si>
    <t>몬스터의 영력 최대치 정보</t>
  </si>
  <si>
    <t>몬스터의 분류 종류 정보</t>
  </si>
  <si>
    <t>몬스터의 발악 패턴 유무 정보
True이면 발악 패턴 존재, False이면 발악 패턴 없음.</t>
    <phoneticPr fontId="1" type="noConversion"/>
  </si>
  <si>
    <t>몬스터 id 테이블</t>
    <phoneticPr fontId="1" type="noConversion"/>
  </si>
  <si>
    <t>일반</t>
  </si>
  <si>
    <t>정예</t>
  </si>
  <si>
    <t>보스</t>
  </si>
  <si>
    <t>일반 몬스터를 의미하는 Enum 타입</t>
    <phoneticPr fontId="1" type="noConversion"/>
  </si>
  <si>
    <t>정예 몬스터를 의미하는 Enum 타입</t>
    <phoneticPr fontId="1" type="noConversion"/>
  </si>
  <si>
    <t>보스 몬스터를 의미하는 Enum 타입</t>
    <phoneticPr fontId="1" type="noConversion"/>
  </si>
  <si>
    <t>일반</t>
    <phoneticPr fontId="1" type="noConversion"/>
  </si>
  <si>
    <t>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</si>
</sst>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workbookViewId="0">
      <selection activeCell="B1" sqref="B1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48.25" style="2" bestFit="1" customWidth="1"/>
    <col min="5" max="5" width="22.625" style="2" customWidth="1"/>
    <col min="6" max="6" width="27.125" style="2" customWidth="1"/>
    <col min="7" max="7" width="9" style="3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5</v>
      </c>
    </row>
    <row r="3" spans="2:8" x14ac:dyDescent="0.3">
      <c r="B3" s="2" t="s">
        <v>8</v>
      </c>
      <c r="C3" s="2" t="b">
        <v>1</v>
      </c>
      <c r="D3" s="2" t="s">
        <v>19</v>
      </c>
      <c r="E3" s="2" t="s">
        <v>15</v>
      </c>
      <c r="F3" s="2" t="s">
        <v>27</v>
      </c>
      <c r="G3" s="3">
        <v>0</v>
      </c>
      <c r="H3" s="4" t="b">
        <v>0</v>
      </c>
    </row>
    <row r="4" spans="2:8" x14ac:dyDescent="0.3">
      <c r="B4" s="2" t="s">
        <v>9</v>
      </c>
      <c r="C4" s="2" t="b">
        <v>0</v>
      </c>
      <c r="D4" s="2" t="s">
        <v>20</v>
      </c>
      <c r="E4" s="2" t="s">
        <v>16</v>
      </c>
      <c r="F4" s="2" t="b">
        <v>0</v>
      </c>
      <c r="G4" s="3">
        <v>50</v>
      </c>
      <c r="H4" s="4" t="b">
        <v>0</v>
      </c>
    </row>
    <row r="5" spans="2:8" x14ac:dyDescent="0.3">
      <c r="B5" s="2" t="s">
        <v>10</v>
      </c>
      <c r="C5" s="2" t="b">
        <v>0</v>
      </c>
      <c r="D5" s="2" t="s">
        <v>21</v>
      </c>
      <c r="E5" s="2" t="s">
        <v>16</v>
      </c>
      <c r="F5" s="2" t="b">
        <v>0</v>
      </c>
      <c r="G5" s="3">
        <v>100</v>
      </c>
      <c r="H5" s="4" t="b">
        <v>0</v>
      </c>
    </row>
    <row r="6" spans="2:8" x14ac:dyDescent="0.3">
      <c r="B6" s="2" t="s">
        <v>11</v>
      </c>
      <c r="C6" s="2" t="b">
        <v>0</v>
      </c>
      <c r="D6" s="2" t="s">
        <v>22</v>
      </c>
      <c r="E6" s="2" t="s">
        <v>16</v>
      </c>
      <c r="F6" s="2" t="b">
        <v>0</v>
      </c>
      <c r="G6" s="3">
        <v>30</v>
      </c>
      <c r="H6" s="4" t="b">
        <v>0</v>
      </c>
    </row>
    <row r="7" spans="2:8" x14ac:dyDescent="0.3">
      <c r="B7" s="2" t="s">
        <v>12</v>
      </c>
      <c r="C7" s="2" t="b">
        <v>0</v>
      </c>
      <c r="D7" s="2" t="s">
        <v>23</v>
      </c>
      <c r="E7" s="2" t="s">
        <v>16</v>
      </c>
      <c r="F7" s="2" t="b">
        <v>0</v>
      </c>
      <c r="G7" s="3">
        <v>15</v>
      </c>
      <c r="H7" s="4" t="b">
        <v>0</v>
      </c>
    </row>
    <row r="8" spans="2:8" x14ac:dyDescent="0.3">
      <c r="B8" s="2" t="s">
        <v>13</v>
      </c>
      <c r="C8" s="2" t="b">
        <v>0</v>
      </c>
      <c r="D8" s="2" t="s">
        <v>24</v>
      </c>
      <c r="E8" s="2" t="s">
        <v>15</v>
      </c>
      <c r="F8" s="2" t="b">
        <v>0</v>
      </c>
      <c r="G8" s="3">
        <v>5</v>
      </c>
      <c r="H8" s="4" t="b">
        <v>0</v>
      </c>
    </row>
    <row r="9" spans="2:8" x14ac:dyDescent="0.3">
      <c r="B9" s="2" t="s">
        <v>35</v>
      </c>
      <c r="C9" s="2" t="b">
        <v>0</v>
      </c>
      <c r="D9" s="2" t="s">
        <v>25</v>
      </c>
      <c r="E9" s="2" t="s">
        <v>17</v>
      </c>
      <c r="F9" s="2" t="b">
        <v>0</v>
      </c>
      <c r="G9" s="3" t="s">
        <v>34</v>
      </c>
      <c r="H9" s="4" t="b">
        <v>0</v>
      </c>
    </row>
    <row r="10" spans="2:8" ht="33" x14ac:dyDescent="0.3">
      <c r="B10" s="2" t="s">
        <v>14</v>
      </c>
      <c r="C10" s="2" t="b">
        <v>0</v>
      </c>
      <c r="D10" s="5" t="s">
        <v>26</v>
      </c>
      <c r="E10" s="2" t="s">
        <v>18</v>
      </c>
      <c r="F10" s="2" t="b">
        <v>0</v>
      </c>
      <c r="G10" s="3" t="b">
        <v>0</v>
      </c>
      <c r="H10" s="4" t="b">
        <v>0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072-5AB1-4B00-B69A-232BCC2BB72D}">
  <dimension ref="B2:K5"/>
  <sheetViews>
    <sheetView workbookViewId="0">
      <selection activeCell="C9" sqref="C9"/>
    </sheetView>
  </sheetViews>
  <sheetFormatPr defaultRowHeight="16.5" x14ac:dyDescent="0.3"/>
  <cols>
    <col min="2" max="2" width="13.375" customWidth="1"/>
    <col min="3" max="3" width="45.75" customWidth="1"/>
  </cols>
  <sheetData>
    <row r="2" spans="2:11" x14ac:dyDescent="0.3">
      <c r="B2" s="1" t="s">
        <v>6</v>
      </c>
      <c r="C2" s="1" t="s">
        <v>2</v>
      </c>
    </row>
    <row r="3" spans="2:11" x14ac:dyDescent="0.3">
      <c r="B3" s="6" t="s">
        <v>28</v>
      </c>
      <c r="C3" t="s">
        <v>31</v>
      </c>
      <c r="K3" s="6"/>
    </row>
    <row r="4" spans="2:11" x14ac:dyDescent="0.3">
      <c r="B4" t="s">
        <v>29</v>
      </c>
      <c r="C4" t="s">
        <v>32</v>
      </c>
    </row>
    <row r="5" spans="2:11" x14ac:dyDescent="0.3">
      <c r="B5" t="s">
        <v>30</v>
      </c>
      <c r="C5" t="s">
        <v>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I4"/>
  <sheetViews>
    <sheetView tabSelected="1" workbookViewId="0">
      <selection activeCell="L2" sqref="L2:L8"/>
    </sheetView>
  </sheetViews>
  <sheetFormatPr defaultRowHeight="16.5" x14ac:dyDescent="0.3"/>
  <cols>
    <col min="2" max="2" width="9.375" bestFit="1" customWidth="1"/>
    <col min="3" max="3" width="7.125" bestFit="1" customWidth="1"/>
    <col min="4" max="6" width="13.75" bestFit="1" customWidth="1"/>
    <col min="7" max="7" width="11.625" bestFit="1" customWidth="1"/>
    <col min="8" max="8" width="5.25" bestFit="1" customWidth="1"/>
    <col min="9" max="9" width="14.375" bestFit="1" customWidth="1"/>
  </cols>
  <sheetData>
    <row r="1" spans="2:9" x14ac:dyDescent="0.3">
      <c r="B1" t="str" cm="1">
        <f t="array" aca="1" ref="B1" ca="1">IF(INDIRECT("'도메인 정의'!B" &amp; COLUMN()+1)=0,"속성 없음",INDIRECT("'도메인 정의'!B" &amp; COLUMN()+1))</f>
        <v>몬스터 Id</v>
      </c>
      <c r="C1" t="str" cm="1">
        <f t="array" aca="1" ref="C1" ca="1">IF(INDIRECT("'도메인 정의'!B" &amp; COLUMN()+1)=0,"속성 없음",INDIRECT("'도메인 정의'!B" &amp; COLUMN()+1))</f>
        <v>공격력</v>
      </c>
      <c r="D1" t="str" cm="1">
        <f t="array" aca="1" ref="D1" ca="1">IF(INDIRECT("'도메인 정의'!B" &amp; COLUMN()+1)=0,"속성 없음",INDIRECT("'도메인 정의'!B" &amp; COLUMN()+1))</f>
        <v>생명력 최대치</v>
      </c>
      <c r="E1" t="str" cm="1">
        <f t="array" aca="1" ref="E1" ca="1">IF(INDIRECT("'도메인 정의'!B" &amp; COLUMN()+1)=0,"속성 없음",INDIRECT("'도메인 정의'!B" &amp; COLUMN()+1))</f>
        <v>지구력 최대치</v>
      </c>
      <c r="F1" t="str" cm="1">
        <f t="array" aca="1" ref="F1" ca="1">IF(INDIRECT("'도메인 정의'!B" &amp; COLUMN()+1)=0,"속성 없음",INDIRECT("'도메인 정의'!B" &amp; COLUMN()+1))</f>
        <v>정신력 최대치</v>
      </c>
      <c r="G1" t="str" cm="1">
        <f t="array" aca="1" ref="G1" ca="1">IF(INDIRECT("'도메인 정의'!B" &amp; COLUMN()+1)=0,"속성 없음",INDIRECT("'도메인 정의'!B" &amp; COLUMN()+1))</f>
        <v>영력 최대치</v>
      </c>
      <c r="H1" t="str" cm="1">
        <f t="array" aca="1" ref="H1" ca="1">IF(INDIRECT("'도메인 정의'!B" &amp; COLUMN()+1)=0,"속성 없음",INDIRECT("'도메인 정의'!B" &amp; COLUMN()+1))</f>
        <v>분류</v>
      </c>
      <c r="I1" t="str" cm="1">
        <f t="array" aca="1" ref="I1" ca="1">IF(INDIRECT("'도메인 정의'!B" &amp; COLUMN()+1)=0,"속성 없음",INDIRECT("'도메인 정의'!B" &amp; COLUMN()+1))</f>
        <v>개체 발악 조건</v>
      </c>
    </row>
    <row r="2" spans="2:9" x14ac:dyDescent="0.3">
      <c r="B2">
        <v>1000</v>
      </c>
      <c r="C2">
        <v>150</v>
      </c>
      <c r="D2">
        <v>200</v>
      </c>
      <c r="E2">
        <v>10</v>
      </c>
      <c r="F2">
        <v>5</v>
      </c>
      <c r="G2">
        <v>2</v>
      </c>
      <c r="H2" t="s">
        <v>28</v>
      </c>
      <c r="I2" t="b">
        <v>0</v>
      </c>
    </row>
    <row r="3" spans="2:9" x14ac:dyDescent="0.3">
      <c r="B3">
        <v>1001</v>
      </c>
      <c r="C3">
        <v>150</v>
      </c>
      <c r="D3">
        <v>200</v>
      </c>
      <c r="E3">
        <v>10</v>
      </c>
      <c r="F3">
        <v>5</v>
      </c>
      <c r="G3">
        <v>2</v>
      </c>
      <c r="H3" t="s">
        <v>28</v>
      </c>
      <c r="I3" t="b">
        <v>0</v>
      </c>
    </row>
    <row r="4" spans="2:9" x14ac:dyDescent="0.3">
      <c r="B4">
        <v>1002</v>
      </c>
      <c r="C4">
        <v>150</v>
      </c>
      <c r="D4">
        <v>200</v>
      </c>
      <c r="E4">
        <v>10</v>
      </c>
      <c r="F4">
        <v>5</v>
      </c>
      <c r="G4">
        <v>2</v>
      </c>
      <c r="H4" t="s">
        <v>28</v>
      </c>
      <c r="I4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도메인 정의</vt:lpstr>
      <vt:lpstr>분류 Enum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2026-02-19T17:03:03Z</dcterms:modified>
</cp:coreProperties>
</file>